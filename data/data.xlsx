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Backup\Users\LavenderXKY\PyCharm Projects\AdvancedOR\"/>
    </mc:Choice>
  </mc:AlternateContent>
  <xr:revisionPtr revIDLastSave="0" documentId="13_ncr:1_{C82D65CE-DA69-455A-AC4C-BE6216C552E8}" xr6:coauthVersionLast="47" xr6:coauthVersionMax="47" xr10:uidLastSave="{00000000-0000-0000-0000-000000000000}"/>
  <bookViews>
    <workbookView xWindow="-98" yWindow="-98" windowWidth="22695" windowHeight="14595" activeTab="2" xr2:uid="{00000000-000D-0000-FFFF-FFFF00000000}"/>
  </bookViews>
  <sheets>
    <sheet name="自有货机运价" sheetId="1" r:id="rId1"/>
    <sheet name="OD需求" sheetId="2" r:id="rId2"/>
    <sheet name="城市" sheetId="3" r:id="rId3"/>
  </sheets>
  <calcPr calcId="191029"/>
</workbook>
</file>

<file path=xl/calcChain.xml><?xml version="1.0" encoding="utf-8"?>
<calcChain xmlns="http://schemas.openxmlformats.org/spreadsheetml/2006/main">
  <c r="C19" i="2" l="1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B19" i="2"/>
</calcChain>
</file>

<file path=xl/sharedStrings.xml><?xml version="1.0" encoding="utf-8"?>
<sst xmlns="http://schemas.openxmlformats.org/spreadsheetml/2006/main" count="32" uniqueCount="31">
  <si>
    <t>机型</t>
  </si>
  <si>
    <t>单小时成本</t>
  </si>
  <si>
    <t>业载（吨）</t>
  </si>
  <si>
    <t>每天飞行 4 小时</t>
  </si>
  <si>
    <t>每天飞行 6 小时</t>
  </si>
  <si>
    <t>每天飞行 8 小时</t>
  </si>
  <si>
    <t>B737</t>
  </si>
  <si>
    <t>B757</t>
  </si>
  <si>
    <t>A300</t>
  </si>
  <si>
    <t>总计</t>
  </si>
  <si>
    <t>城市代号</t>
    <phoneticPr fontId="1" type="noConversion"/>
  </si>
  <si>
    <t>经度</t>
    <phoneticPr fontId="1" type="noConversion"/>
  </si>
  <si>
    <t>纬度</t>
    <phoneticPr fontId="1" type="noConversion"/>
  </si>
  <si>
    <t>城市名</t>
    <phoneticPr fontId="1" type="noConversion"/>
  </si>
  <si>
    <t>北京</t>
    <phoneticPr fontId="1" type="noConversion"/>
  </si>
  <si>
    <t>上海</t>
    <phoneticPr fontId="1" type="noConversion"/>
  </si>
  <si>
    <t>重庆</t>
    <phoneticPr fontId="1" type="noConversion"/>
  </si>
  <si>
    <t>沈阳</t>
    <phoneticPr fontId="1" type="noConversion"/>
  </si>
  <si>
    <t>武汉</t>
    <phoneticPr fontId="1" type="noConversion"/>
  </si>
  <si>
    <t>成都</t>
    <phoneticPr fontId="1" type="noConversion"/>
  </si>
  <si>
    <t>西安</t>
    <phoneticPr fontId="1" type="noConversion"/>
  </si>
  <si>
    <t>郑州</t>
    <phoneticPr fontId="1" type="noConversion"/>
  </si>
  <si>
    <t>无锡</t>
    <phoneticPr fontId="1" type="noConversion"/>
  </si>
  <si>
    <t>潍坊</t>
    <phoneticPr fontId="1" type="noConversion"/>
  </si>
  <si>
    <t>杭州</t>
    <phoneticPr fontId="1" type="noConversion"/>
  </si>
  <si>
    <t>福州</t>
    <phoneticPr fontId="1" type="noConversion"/>
  </si>
  <si>
    <t>长沙</t>
    <phoneticPr fontId="1" type="noConversion"/>
  </si>
  <si>
    <t>深圳</t>
    <phoneticPr fontId="1" type="noConversion"/>
  </si>
  <si>
    <t>香港</t>
    <phoneticPr fontId="1" type="noConversion"/>
  </si>
  <si>
    <t>台湾</t>
    <phoneticPr fontId="1" type="noConversion"/>
  </si>
  <si>
    <t>乌鲁木齐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</si>
</sst>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27" sqref="B27"/>
    </sheetView>
  </sheetViews>
  <sheetFormatPr defaultColWidth="8.796875" defaultRowHeight="13.5" x14ac:dyDescent="0.3"/>
  <cols>
    <col min="1" max="1" width="19.1328125" customWidth="1"/>
    <col min="2" max="2" width="18.796875" customWidth="1"/>
    <col min="3" max="3" width="18.33203125" customWidth="1"/>
    <col min="4" max="4" width="21.6640625" customWidth="1"/>
  </cols>
  <sheetData>
    <row r="1" spans="1:5" x14ac:dyDescent="0.3">
      <c r="A1" s="4" t="s">
        <v>0</v>
      </c>
      <c r="B1" s="3" t="s">
        <v>1</v>
      </c>
      <c r="C1" s="3"/>
      <c r="D1" s="3"/>
      <c r="E1" s="4" t="s">
        <v>2</v>
      </c>
    </row>
    <row r="2" spans="1:5" x14ac:dyDescent="0.3">
      <c r="A2" s="4"/>
      <c r="B2" t="s">
        <v>3</v>
      </c>
      <c r="C2" t="s">
        <v>4</v>
      </c>
      <c r="D2" t="s">
        <v>5</v>
      </c>
      <c r="E2" s="4"/>
    </row>
    <row r="3" spans="1:5" x14ac:dyDescent="0.3">
      <c r="A3" t="s">
        <v>6</v>
      </c>
      <c r="B3">
        <v>4.5</v>
      </c>
      <c r="C3">
        <v>4</v>
      </c>
      <c r="D3">
        <v>3.5</v>
      </c>
      <c r="E3">
        <v>14</v>
      </c>
    </row>
    <row r="4" spans="1:5" x14ac:dyDescent="0.3">
      <c r="A4" t="s">
        <v>7</v>
      </c>
      <c r="B4">
        <v>7.5</v>
      </c>
      <c r="C4">
        <v>7</v>
      </c>
      <c r="D4">
        <v>6.5</v>
      </c>
      <c r="E4">
        <v>28</v>
      </c>
    </row>
    <row r="5" spans="1:5" x14ac:dyDescent="0.3">
      <c r="A5" t="s">
        <v>8</v>
      </c>
      <c r="B5">
        <v>8.5</v>
      </c>
      <c r="C5">
        <v>8</v>
      </c>
      <c r="D5">
        <v>7.5</v>
      </c>
      <c r="E5">
        <v>40</v>
      </c>
    </row>
  </sheetData>
  <mergeCells count="3">
    <mergeCell ref="B1:D1"/>
    <mergeCell ref="A1:A2"/>
    <mergeCell ref="E1:E2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D27" sqref="D27"/>
    </sheetView>
  </sheetViews>
  <sheetFormatPr defaultColWidth="8.796875" defaultRowHeight="13.5" x14ac:dyDescent="0.3"/>
  <sheetData>
    <row r="1" spans="1:19" x14ac:dyDescent="0.3">
      <c r="B1">
        <v>10</v>
      </c>
      <c r="C1">
        <v>21</v>
      </c>
      <c r="D1">
        <v>23</v>
      </c>
      <c r="E1">
        <v>24</v>
      </c>
      <c r="F1">
        <v>27</v>
      </c>
      <c r="G1">
        <v>28</v>
      </c>
      <c r="H1">
        <v>29</v>
      </c>
      <c r="I1">
        <v>371</v>
      </c>
      <c r="J1">
        <v>510</v>
      </c>
      <c r="K1">
        <v>536</v>
      </c>
      <c r="L1">
        <v>571</v>
      </c>
      <c r="M1">
        <v>591</v>
      </c>
      <c r="N1">
        <v>731</v>
      </c>
      <c r="O1">
        <v>755</v>
      </c>
      <c r="P1">
        <v>852</v>
      </c>
      <c r="Q1">
        <v>886</v>
      </c>
      <c r="R1">
        <v>991</v>
      </c>
      <c r="S1" t="s">
        <v>9</v>
      </c>
    </row>
    <row r="2" spans="1:19" x14ac:dyDescent="0.3">
      <c r="A2">
        <v>10</v>
      </c>
      <c r="C2">
        <v>13585</v>
      </c>
      <c r="D2">
        <v>2339</v>
      </c>
      <c r="E2">
        <v>9219</v>
      </c>
      <c r="F2">
        <v>3541</v>
      </c>
      <c r="G2">
        <v>4825</v>
      </c>
      <c r="H2">
        <v>3418</v>
      </c>
      <c r="I2">
        <v>3483</v>
      </c>
      <c r="J2">
        <v>11433</v>
      </c>
      <c r="K2">
        <v>11911</v>
      </c>
      <c r="L2">
        <v>11978</v>
      </c>
      <c r="M2">
        <v>4923</v>
      </c>
      <c r="N2">
        <v>2143</v>
      </c>
      <c r="O2">
        <v>21460</v>
      </c>
      <c r="P2">
        <v>1799</v>
      </c>
      <c r="Q2">
        <v>1521</v>
      </c>
      <c r="R2">
        <v>3986</v>
      </c>
      <c r="S2">
        <v>111566</v>
      </c>
    </row>
    <row r="3" spans="1:19" x14ac:dyDescent="0.3">
      <c r="A3">
        <v>21</v>
      </c>
      <c r="B3">
        <v>20425</v>
      </c>
      <c r="D3">
        <v>1974</v>
      </c>
      <c r="E3">
        <v>6909</v>
      </c>
      <c r="F3">
        <v>3106</v>
      </c>
      <c r="G3">
        <v>3810</v>
      </c>
      <c r="H3">
        <v>2253</v>
      </c>
      <c r="I3">
        <v>2416</v>
      </c>
      <c r="K3">
        <v>8803</v>
      </c>
      <c r="N3">
        <v>2157</v>
      </c>
      <c r="O3">
        <v>21265</v>
      </c>
      <c r="P3">
        <v>5780</v>
      </c>
      <c r="Q3">
        <v>2216</v>
      </c>
      <c r="R3">
        <v>2045</v>
      </c>
      <c r="S3">
        <v>83160</v>
      </c>
    </row>
    <row r="4" spans="1:19" x14ac:dyDescent="0.3">
      <c r="A4">
        <v>23</v>
      </c>
      <c r="B4">
        <v>750</v>
      </c>
      <c r="C4">
        <v>589</v>
      </c>
      <c r="E4">
        <v>338</v>
      </c>
      <c r="F4">
        <v>354</v>
      </c>
      <c r="H4">
        <v>188</v>
      </c>
      <c r="I4">
        <v>173</v>
      </c>
      <c r="J4">
        <v>459</v>
      </c>
      <c r="K4">
        <v>273</v>
      </c>
      <c r="L4">
        <v>598</v>
      </c>
      <c r="M4">
        <v>308</v>
      </c>
      <c r="N4">
        <v>115</v>
      </c>
      <c r="O4">
        <v>1766</v>
      </c>
      <c r="P4">
        <v>53</v>
      </c>
      <c r="Q4">
        <v>92</v>
      </c>
      <c r="R4">
        <v>360</v>
      </c>
      <c r="S4">
        <v>6416</v>
      </c>
    </row>
    <row r="5" spans="1:19" x14ac:dyDescent="0.3">
      <c r="A5">
        <v>24</v>
      </c>
      <c r="B5">
        <v>6190</v>
      </c>
      <c r="C5">
        <v>3073</v>
      </c>
      <c r="D5">
        <v>519</v>
      </c>
      <c r="F5">
        <v>600</v>
      </c>
      <c r="G5">
        <v>839</v>
      </c>
      <c r="H5">
        <v>425</v>
      </c>
      <c r="I5">
        <v>513</v>
      </c>
      <c r="J5">
        <v>2070</v>
      </c>
      <c r="K5">
        <v>2207</v>
      </c>
      <c r="L5">
        <v>2997</v>
      </c>
      <c r="M5">
        <v>657</v>
      </c>
      <c r="N5">
        <v>364</v>
      </c>
      <c r="O5">
        <v>4188</v>
      </c>
      <c r="P5">
        <v>735</v>
      </c>
      <c r="Q5">
        <v>204</v>
      </c>
      <c r="R5">
        <v>529</v>
      </c>
      <c r="S5">
        <v>26112</v>
      </c>
    </row>
    <row r="6" spans="1:19" x14ac:dyDescent="0.3">
      <c r="A6">
        <v>27</v>
      </c>
      <c r="B6">
        <v>2822</v>
      </c>
      <c r="C6">
        <v>1827</v>
      </c>
      <c r="D6">
        <v>520</v>
      </c>
      <c r="E6">
        <v>464</v>
      </c>
      <c r="G6">
        <v>1010</v>
      </c>
      <c r="H6">
        <v>407</v>
      </c>
      <c r="I6">
        <v>565</v>
      </c>
      <c r="J6">
        <v>1468</v>
      </c>
      <c r="K6">
        <v>825</v>
      </c>
      <c r="L6">
        <v>1930</v>
      </c>
      <c r="M6">
        <v>989</v>
      </c>
      <c r="O6">
        <v>5029</v>
      </c>
      <c r="P6">
        <v>375</v>
      </c>
      <c r="Q6">
        <v>246</v>
      </c>
      <c r="R6">
        <v>456</v>
      </c>
      <c r="S6">
        <v>18934</v>
      </c>
    </row>
    <row r="7" spans="1:19" x14ac:dyDescent="0.3">
      <c r="A7">
        <v>28</v>
      </c>
      <c r="B7">
        <v>3036</v>
      </c>
      <c r="C7">
        <v>1059</v>
      </c>
      <c r="E7">
        <v>604</v>
      </c>
      <c r="F7">
        <v>662</v>
      </c>
      <c r="H7">
        <v>474</v>
      </c>
      <c r="I7">
        <v>462</v>
      </c>
      <c r="J7">
        <v>1281</v>
      </c>
      <c r="K7">
        <v>1057</v>
      </c>
      <c r="L7">
        <v>1416</v>
      </c>
      <c r="M7">
        <v>654</v>
      </c>
      <c r="N7">
        <v>557</v>
      </c>
      <c r="O7">
        <v>3628</v>
      </c>
      <c r="P7">
        <v>157</v>
      </c>
      <c r="Q7">
        <v>214</v>
      </c>
      <c r="R7">
        <v>565</v>
      </c>
      <c r="S7">
        <v>15825</v>
      </c>
    </row>
    <row r="8" spans="1:19" x14ac:dyDescent="0.3">
      <c r="A8">
        <v>29</v>
      </c>
      <c r="B8">
        <v>1760</v>
      </c>
      <c r="C8">
        <v>815</v>
      </c>
      <c r="D8">
        <v>140</v>
      </c>
      <c r="E8">
        <v>382</v>
      </c>
      <c r="F8">
        <v>266</v>
      </c>
      <c r="G8">
        <v>454</v>
      </c>
      <c r="I8">
        <v>316</v>
      </c>
      <c r="J8">
        <v>952</v>
      </c>
      <c r="K8">
        <v>396</v>
      </c>
      <c r="L8">
        <v>714</v>
      </c>
      <c r="M8">
        <v>338</v>
      </c>
      <c r="N8">
        <v>159</v>
      </c>
      <c r="O8">
        <v>1789</v>
      </c>
      <c r="P8">
        <v>133</v>
      </c>
      <c r="Q8">
        <v>94</v>
      </c>
      <c r="R8">
        <v>467</v>
      </c>
      <c r="S8">
        <v>9175</v>
      </c>
    </row>
    <row r="9" spans="1:19" x14ac:dyDescent="0.3">
      <c r="A9">
        <v>371</v>
      </c>
      <c r="B9">
        <v>1726</v>
      </c>
      <c r="C9">
        <v>1106</v>
      </c>
      <c r="D9">
        <v>290</v>
      </c>
      <c r="E9">
        <v>465</v>
      </c>
      <c r="F9">
        <v>536</v>
      </c>
      <c r="G9">
        <v>445</v>
      </c>
      <c r="H9">
        <v>310</v>
      </c>
      <c r="J9">
        <v>1029</v>
      </c>
      <c r="K9">
        <v>641</v>
      </c>
      <c r="L9">
        <v>1311</v>
      </c>
      <c r="M9">
        <v>719</v>
      </c>
      <c r="N9">
        <v>248</v>
      </c>
      <c r="O9">
        <v>2685</v>
      </c>
      <c r="P9">
        <v>204</v>
      </c>
      <c r="Q9">
        <v>128</v>
      </c>
      <c r="R9">
        <v>271</v>
      </c>
      <c r="S9">
        <v>12114</v>
      </c>
    </row>
    <row r="10" spans="1:19" x14ac:dyDescent="0.3">
      <c r="A10">
        <v>510</v>
      </c>
      <c r="B10">
        <v>16331</v>
      </c>
      <c r="D10">
        <v>1697</v>
      </c>
      <c r="E10">
        <v>5880</v>
      </c>
      <c r="F10">
        <v>3129</v>
      </c>
      <c r="G10">
        <v>4807</v>
      </c>
      <c r="H10">
        <v>2364</v>
      </c>
      <c r="I10">
        <v>2711</v>
      </c>
      <c r="K10">
        <v>8247</v>
      </c>
      <c r="N10">
        <v>1783</v>
      </c>
      <c r="O10">
        <v>33784</v>
      </c>
      <c r="P10">
        <v>8294</v>
      </c>
      <c r="Q10">
        <v>2579</v>
      </c>
      <c r="R10">
        <v>1465</v>
      </c>
      <c r="S10">
        <v>93072</v>
      </c>
    </row>
    <row r="11" spans="1:19" x14ac:dyDescent="0.3">
      <c r="A11">
        <v>536</v>
      </c>
      <c r="B11">
        <v>9092</v>
      </c>
      <c r="C11">
        <v>6419</v>
      </c>
      <c r="D11">
        <v>784</v>
      </c>
      <c r="E11">
        <v>2533</v>
      </c>
      <c r="F11">
        <v>890</v>
      </c>
      <c r="G11">
        <v>1699</v>
      </c>
      <c r="H11">
        <v>797</v>
      </c>
      <c r="I11">
        <v>959</v>
      </c>
      <c r="J11">
        <v>5006</v>
      </c>
      <c r="L11">
        <v>5672</v>
      </c>
      <c r="M11">
        <v>1996</v>
      </c>
      <c r="N11">
        <v>954</v>
      </c>
      <c r="O11">
        <v>12446</v>
      </c>
      <c r="P11">
        <v>2829</v>
      </c>
      <c r="Q11">
        <v>1024</v>
      </c>
      <c r="R11">
        <v>685</v>
      </c>
      <c r="S11">
        <v>53783</v>
      </c>
    </row>
    <row r="12" spans="1:19" x14ac:dyDescent="0.3">
      <c r="A12">
        <v>571</v>
      </c>
      <c r="B12">
        <v>23857</v>
      </c>
      <c r="D12">
        <v>4524</v>
      </c>
      <c r="E12">
        <v>9332</v>
      </c>
      <c r="F12">
        <v>4366</v>
      </c>
      <c r="G12">
        <v>9145</v>
      </c>
      <c r="H12">
        <v>4773</v>
      </c>
      <c r="I12">
        <v>4088</v>
      </c>
      <c r="K12">
        <v>13788</v>
      </c>
      <c r="N12">
        <v>2764</v>
      </c>
      <c r="O12">
        <v>58370</v>
      </c>
      <c r="P12">
        <v>18852</v>
      </c>
      <c r="Q12">
        <v>5152</v>
      </c>
      <c r="R12">
        <v>3636</v>
      </c>
      <c r="S12">
        <v>162647</v>
      </c>
    </row>
    <row r="13" spans="1:19" x14ac:dyDescent="0.3">
      <c r="A13">
        <v>591</v>
      </c>
      <c r="B13">
        <v>7525</v>
      </c>
      <c r="D13">
        <v>693</v>
      </c>
      <c r="E13">
        <v>1894</v>
      </c>
      <c r="F13">
        <v>1480</v>
      </c>
      <c r="G13">
        <v>1922</v>
      </c>
      <c r="H13">
        <v>855</v>
      </c>
      <c r="I13">
        <v>1367</v>
      </c>
      <c r="K13">
        <v>2956</v>
      </c>
      <c r="N13">
        <v>1054</v>
      </c>
      <c r="P13">
        <v>5715</v>
      </c>
      <c r="Q13">
        <v>3562</v>
      </c>
      <c r="R13">
        <v>1038</v>
      </c>
      <c r="S13">
        <v>30062</v>
      </c>
    </row>
    <row r="14" spans="1:19" x14ac:dyDescent="0.3">
      <c r="A14">
        <v>731</v>
      </c>
      <c r="B14">
        <v>1470</v>
      </c>
      <c r="C14">
        <v>799</v>
      </c>
      <c r="D14">
        <v>144</v>
      </c>
      <c r="E14">
        <v>265</v>
      </c>
      <c r="G14">
        <v>628</v>
      </c>
      <c r="H14">
        <v>171</v>
      </c>
      <c r="I14">
        <v>221</v>
      </c>
      <c r="J14">
        <v>686</v>
      </c>
      <c r="K14">
        <v>706</v>
      </c>
      <c r="L14">
        <v>1105</v>
      </c>
      <c r="M14">
        <v>478</v>
      </c>
      <c r="O14">
        <v>3884</v>
      </c>
      <c r="P14">
        <v>626</v>
      </c>
      <c r="Q14">
        <v>122</v>
      </c>
      <c r="R14">
        <v>178</v>
      </c>
      <c r="S14">
        <v>11483</v>
      </c>
    </row>
    <row r="15" spans="1:19" x14ac:dyDescent="0.3">
      <c r="A15">
        <v>755</v>
      </c>
      <c r="B15">
        <v>53138</v>
      </c>
      <c r="C15">
        <v>44075</v>
      </c>
      <c r="D15">
        <v>6925</v>
      </c>
      <c r="E15">
        <v>14984</v>
      </c>
      <c r="F15">
        <v>11754</v>
      </c>
      <c r="G15">
        <v>13746</v>
      </c>
      <c r="H15">
        <v>5754</v>
      </c>
      <c r="I15">
        <v>9673</v>
      </c>
      <c r="J15">
        <v>48691</v>
      </c>
      <c r="K15">
        <v>24409</v>
      </c>
      <c r="L15">
        <v>63753</v>
      </c>
      <c r="N15">
        <v>9992</v>
      </c>
      <c r="Q15">
        <v>25011</v>
      </c>
      <c r="R15">
        <v>8160</v>
      </c>
      <c r="S15">
        <v>340065</v>
      </c>
    </row>
    <row r="16" spans="1:19" x14ac:dyDescent="0.3">
      <c r="A16">
        <v>852</v>
      </c>
      <c r="B16">
        <v>2309</v>
      </c>
      <c r="C16">
        <v>6347</v>
      </c>
      <c r="D16">
        <v>142</v>
      </c>
      <c r="E16">
        <v>858</v>
      </c>
      <c r="F16">
        <v>215</v>
      </c>
      <c r="G16">
        <v>210</v>
      </c>
      <c r="H16">
        <v>71</v>
      </c>
      <c r="I16">
        <v>115</v>
      </c>
      <c r="J16">
        <v>6422</v>
      </c>
      <c r="K16">
        <v>2125</v>
      </c>
      <c r="L16">
        <v>9601</v>
      </c>
      <c r="M16">
        <v>2675</v>
      </c>
      <c r="N16">
        <v>140</v>
      </c>
      <c r="Q16">
        <v>3066</v>
      </c>
      <c r="R16">
        <v>52</v>
      </c>
      <c r="S16">
        <v>34350</v>
      </c>
    </row>
    <row r="17" spans="1:19" x14ac:dyDescent="0.3">
      <c r="A17">
        <v>886</v>
      </c>
      <c r="B17">
        <v>1047</v>
      </c>
      <c r="C17">
        <v>1423</v>
      </c>
      <c r="D17">
        <v>54</v>
      </c>
      <c r="E17">
        <v>339</v>
      </c>
      <c r="F17">
        <v>160</v>
      </c>
      <c r="G17">
        <v>40</v>
      </c>
      <c r="H17">
        <v>29</v>
      </c>
      <c r="I17">
        <v>25</v>
      </c>
      <c r="J17">
        <v>1976</v>
      </c>
      <c r="K17">
        <v>743</v>
      </c>
      <c r="L17">
        <v>2527</v>
      </c>
      <c r="M17">
        <v>2423</v>
      </c>
      <c r="N17">
        <v>33</v>
      </c>
      <c r="O17">
        <v>12033</v>
      </c>
      <c r="P17">
        <v>4154</v>
      </c>
      <c r="R17">
        <v>3</v>
      </c>
      <c r="S17">
        <v>27008</v>
      </c>
    </row>
    <row r="18" spans="1:19" x14ac:dyDescent="0.3">
      <c r="A18">
        <v>991</v>
      </c>
      <c r="B18">
        <v>895</v>
      </c>
      <c r="C18">
        <v>294</v>
      </c>
      <c r="D18">
        <v>84</v>
      </c>
      <c r="E18">
        <v>146</v>
      </c>
      <c r="F18">
        <v>122</v>
      </c>
      <c r="G18">
        <v>243</v>
      </c>
      <c r="H18">
        <v>208</v>
      </c>
      <c r="I18">
        <v>75</v>
      </c>
      <c r="J18">
        <v>216</v>
      </c>
      <c r="K18">
        <v>184</v>
      </c>
      <c r="L18">
        <v>509</v>
      </c>
      <c r="M18">
        <v>198</v>
      </c>
      <c r="N18">
        <v>64</v>
      </c>
      <c r="O18">
        <v>1164</v>
      </c>
      <c r="P18">
        <v>16</v>
      </c>
      <c r="Q18">
        <v>10</v>
      </c>
      <c r="S18">
        <v>4430</v>
      </c>
    </row>
    <row r="19" spans="1:19" x14ac:dyDescent="0.3">
      <c r="A19" t="s">
        <v>9</v>
      </c>
      <c r="B19">
        <f>SUM(B2:B18)</f>
        <v>152373</v>
      </c>
      <c r="C19">
        <f t="shared" ref="C19:S19" si="0">SUM(C2:C18)</f>
        <v>81411</v>
      </c>
      <c r="D19">
        <f t="shared" si="0"/>
        <v>20829</v>
      </c>
      <c r="E19">
        <f t="shared" si="0"/>
        <v>54612</v>
      </c>
      <c r="F19">
        <f t="shared" si="0"/>
        <v>31181</v>
      </c>
      <c r="G19">
        <f t="shared" si="0"/>
        <v>43823</v>
      </c>
      <c r="H19">
        <f t="shared" si="0"/>
        <v>22497</v>
      </c>
      <c r="I19">
        <f t="shared" si="0"/>
        <v>27162</v>
      </c>
      <c r="J19">
        <f t="shared" si="0"/>
        <v>81689</v>
      </c>
      <c r="K19">
        <f t="shared" si="0"/>
        <v>79271</v>
      </c>
      <c r="L19">
        <f t="shared" si="0"/>
        <v>104111</v>
      </c>
      <c r="M19">
        <f t="shared" si="0"/>
        <v>16358</v>
      </c>
      <c r="N19">
        <f t="shared" si="0"/>
        <v>22527</v>
      </c>
      <c r="O19">
        <f t="shared" si="0"/>
        <v>183491</v>
      </c>
      <c r="P19">
        <f t="shared" si="0"/>
        <v>49722</v>
      </c>
      <c r="Q19">
        <f t="shared" si="0"/>
        <v>45241</v>
      </c>
      <c r="R19">
        <f t="shared" si="0"/>
        <v>23896</v>
      </c>
      <c r="S19">
        <f t="shared" si="0"/>
        <v>1040202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4990-D5FA-5345-A5B2-4EB9A487779F}">
  <dimension ref="A1:D18"/>
  <sheetViews>
    <sheetView tabSelected="1" workbookViewId="0">
      <selection activeCell="E9" sqref="E9"/>
    </sheetView>
  </sheetViews>
  <sheetFormatPr defaultColWidth="10.6640625" defaultRowHeight="13.5" x14ac:dyDescent="0.3"/>
  <sheetData>
    <row r="1" spans="1:4" x14ac:dyDescent="0.3">
      <c r="A1" s="1" t="s">
        <v>10</v>
      </c>
      <c r="B1" s="1" t="s">
        <v>13</v>
      </c>
      <c r="C1" s="1" t="s">
        <v>11</v>
      </c>
      <c r="D1" s="1" t="s">
        <v>12</v>
      </c>
    </row>
    <row r="2" spans="1:4" x14ac:dyDescent="0.3">
      <c r="A2">
        <v>10</v>
      </c>
      <c r="B2" t="s">
        <v>14</v>
      </c>
      <c r="C2" s="2">
        <v>116.4</v>
      </c>
      <c r="D2" s="2">
        <v>39.9</v>
      </c>
    </row>
    <row r="3" spans="1:4" x14ac:dyDescent="0.3">
      <c r="A3">
        <v>21</v>
      </c>
      <c r="B3" t="s">
        <v>15</v>
      </c>
      <c r="C3" s="2">
        <v>121.47</v>
      </c>
      <c r="D3" s="2">
        <v>31.23</v>
      </c>
    </row>
    <row r="4" spans="1:4" x14ac:dyDescent="0.3">
      <c r="A4">
        <v>23</v>
      </c>
      <c r="B4" t="s">
        <v>16</v>
      </c>
      <c r="C4" s="2">
        <v>106.55</v>
      </c>
      <c r="D4" s="2">
        <v>29.57</v>
      </c>
    </row>
    <row r="5" spans="1:4" x14ac:dyDescent="0.3">
      <c r="A5">
        <v>24</v>
      </c>
      <c r="B5" t="s">
        <v>17</v>
      </c>
      <c r="C5" s="2">
        <v>123.43</v>
      </c>
      <c r="D5" s="2">
        <v>41.8</v>
      </c>
    </row>
    <row r="6" spans="1:4" x14ac:dyDescent="0.3">
      <c r="A6">
        <v>27</v>
      </c>
      <c r="B6" t="s">
        <v>18</v>
      </c>
      <c r="C6" s="2">
        <v>114.3</v>
      </c>
      <c r="D6" s="2">
        <v>30.6</v>
      </c>
    </row>
    <row r="7" spans="1:4" x14ac:dyDescent="0.3">
      <c r="A7">
        <v>28</v>
      </c>
      <c r="B7" t="s">
        <v>19</v>
      </c>
      <c r="C7" s="2">
        <v>104.07</v>
      </c>
      <c r="D7" s="2">
        <v>30.67</v>
      </c>
    </row>
    <row r="8" spans="1:4" x14ac:dyDescent="0.3">
      <c r="A8">
        <v>29</v>
      </c>
      <c r="B8" t="s">
        <v>20</v>
      </c>
      <c r="C8" s="2">
        <v>108.93</v>
      </c>
      <c r="D8" s="2">
        <v>34.270000000000003</v>
      </c>
    </row>
    <row r="9" spans="1:4" x14ac:dyDescent="0.3">
      <c r="A9">
        <v>371</v>
      </c>
      <c r="B9" t="s">
        <v>21</v>
      </c>
      <c r="C9" s="2">
        <v>113.65</v>
      </c>
      <c r="D9" s="2">
        <v>34.76</v>
      </c>
    </row>
    <row r="10" spans="1:4" x14ac:dyDescent="0.3">
      <c r="A10">
        <v>510</v>
      </c>
      <c r="B10" t="s">
        <v>22</v>
      </c>
      <c r="C10" s="2">
        <v>120.3</v>
      </c>
      <c r="D10" s="2">
        <v>31.57</v>
      </c>
    </row>
    <row r="11" spans="1:4" x14ac:dyDescent="0.3">
      <c r="A11">
        <v>536</v>
      </c>
      <c r="B11" t="s">
        <v>23</v>
      </c>
      <c r="C11" s="2">
        <v>119.15</v>
      </c>
      <c r="D11" s="2">
        <v>36.700000000000003</v>
      </c>
    </row>
    <row r="12" spans="1:4" x14ac:dyDescent="0.3">
      <c r="A12">
        <v>571</v>
      </c>
      <c r="B12" t="s">
        <v>24</v>
      </c>
      <c r="C12" s="2">
        <v>120.15</v>
      </c>
      <c r="D12" s="2">
        <v>30.28</v>
      </c>
    </row>
    <row r="13" spans="1:4" x14ac:dyDescent="0.3">
      <c r="A13">
        <v>591</v>
      </c>
      <c r="B13" t="s">
        <v>25</v>
      </c>
      <c r="C13" s="2">
        <v>119.3</v>
      </c>
      <c r="D13" s="2">
        <v>26.08</v>
      </c>
    </row>
    <row r="14" spans="1:4" x14ac:dyDescent="0.3">
      <c r="A14">
        <v>731</v>
      </c>
      <c r="B14" t="s">
        <v>26</v>
      </c>
      <c r="C14" s="2">
        <v>112.93</v>
      </c>
      <c r="D14" s="2">
        <v>28.23</v>
      </c>
    </row>
    <row r="15" spans="1:4" x14ac:dyDescent="0.3">
      <c r="A15">
        <v>755</v>
      </c>
      <c r="B15" t="s">
        <v>27</v>
      </c>
      <c r="C15" s="2">
        <v>114.05</v>
      </c>
      <c r="D15" s="2">
        <v>22.55</v>
      </c>
    </row>
    <row r="16" spans="1:4" x14ac:dyDescent="0.3">
      <c r="A16">
        <v>852</v>
      </c>
      <c r="B16" t="s">
        <v>28</v>
      </c>
      <c r="C16" s="2">
        <v>114.16</v>
      </c>
      <c r="D16" s="2">
        <v>22.28</v>
      </c>
    </row>
    <row r="17" spans="1:4" x14ac:dyDescent="0.3">
      <c r="A17">
        <v>886</v>
      </c>
      <c r="B17" t="s">
        <v>29</v>
      </c>
      <c r="C17" s="2">
        <v>121.56</v>
      </c>
      <c r="D17" s="2">
        <v>25.03</v>
      </c>
    </row>
    <row r="18" spans="1:4" x14ac:dyDescent="0.3">
      <c r="A18">
        <v>991</v>
      </c>
      <c r="B18" t="s">
        <v>30</v>
      </c>
      <c r="C18" s="2">
        <v>87.62</v>
      </c>
      <c r="D18" s="2">
        <v>43.82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自有货机运价</vt:lpstr>
      <vt:lpstr>OD需求</vt:lpstr>
      <vt:lpstr>城市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可懿 徐</cp:lastModifiedBy>
  <dcterms:created xsi:type="dcterms:W3CDTF">2024-12-17T15:20:10Z</dcterms:created>
  <dcterms:modified xsi:type="dcterms:W3CDTF">2024-12-21T05:49:58Z</dcterms:modified>
</cp:coreProperties>
</file>